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kno\OneDrive\Documents\"/>
    </mc:Choice>
  </mc:AlternateContent>
  <xr:revisionPtr revIDLastSave="0" documentId="8_{A3D6AA8A-0EB2-4F81-8280-F2EDA11C0D0E}" xr6:coauthVersionLast="47" xr6:coauthVersionMax="47" xr10:uidLastSave="{00000000-0000-0000-0000-000000000000}"/>
  <bookViews>
    <workbookView xWindow="-120" yWindow="-120" windowWidth="29040" windowHeight="15720" activeTab="2" xr2:uid="{98204C02-A1A0-480A-BFDF-9D6E9DA6DE45}"/>
  </bookViews>
  <sheets>
    <sheet name="Set Up" sheetId="1" r:id="rId1"/>
    <sheet name="Dashboard" sheetId="2" r:id="rId2"/>
    <sheet name="Jan" sheetId="14" r:id="rId3"/>
    <sheet name="Lists" sheetId="13" state="hidden" r:id="rId4"/>
  </sheets>
  <definedNames>
    <definedName name="Categories">Lists!$B$4:$B$10</definedName>
    <definedName name="Focus">Lists!$G$4:$G$8</definedName>
    <definedName name="Mental">Lists!$C$4:$C$13</definedName>
    <definedName name="Nutrition">Lists!$E$4:$E$9</definedName>
    <definedName name="Organization">Lists!$I$4:$I$8</definedName>
    <definedName name="Physical">Lists!$D$4:$D$13</definedName>
    <definedName name="Productivity">Lists!$F$4:$F$12</definedName>
    <definedName name="Relationships">Lists!$H$4:$H$8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" i="14" l="1"/>
  <c r="B11" i="14"/>
  <c r="B12" i="14"/>
  <c r="B13" i="14"/>
  <c r="B14" i="14"/>
  <c r="B15" i="14"/>
  <c r="B16" i="14"/>
  <c r="B17" i="14"/>
  <c r="B18" i="14"/>
  <c r="B19" i="14"/>
  <c r="B10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C25" i="2" s="1"/>
  <c r="G22" i="14"/>
  <c r="F22" i="14"/>
  <c r="E22" i="14"/>
  <c r="D22" i="14"/>
  <c r="C22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AK19" i="14"/>
  <c r="AJ19" i="14"/>
  <c r="AI19" i="14"/>
  <c r="AK18" i="14"/>
  <c r="AJ18" i="14"/>
  <c r="AI18" i="14"/>
  <c r="AK17" i="14"/>
  <c r="AJ17" i="14"/>
  <c r="AI17" i="14"/>
  <c r="AK16" i="14"/>
  <c r="AJ16" i="14"/>
  <c r="AI16" i="14"/>
  <c r="AK15" i="14"/>
  <c r="AJ15" i="14"/>
  <c r="AI15" i="14"/>
  <c r="AK14" i="14"/>
  <c r="AJ14" i="14"/>
  <c r="AI14" i="14"/>
  <c r="AK13" i="14"/>
  <c r="AJ13" i="14"/>
  <c r="AI13" i="14"/>
  <c r="AK12" i="14"/>
  <c r="AJ12" i="14"/>
  <c r="AI12" i="14"/>
  <c r="AK11" i="14"/>
  <c r="AJ11" i="14"/>
  <c r="AI11" i="14"/>
  <c r="AJ10" i="14"/>
  <c r="AI10" i="14"/>
  <c r="C26" i="2" l="1"/>
  <c r="C24" i="2"/>
  <c r="N4" i="14"/>
  <c r="V4" i="14"/>
</calcChain>
</file>

<file path=xl/sharedStrings.xml><?xml version="1.0" encoding="utf-8"?>
<sst xmlns="http://schemas.openxmlformats.org/spreadsheetml/2006/main" count="185" uniqueCount="95">
  <si>
    <t>My Habits</t>
  </si>
  <si>
    <t>Su</t>
  </si>
  <si>
    <t>Mo</t>
  </si>
  <si>
    <t>Tu</t>
  </si>
  <si>
    <t>We</t>
  </si>
  <si>
    <t>Th</t>
  </si>
  <si>
    <t>Fr</t>
  </si>
  <si>
    <t>Sa</t>
  </si>
  <si>
    <t>Week 1</t>
  </si>
  <si>
    <t>Week 2</t>
  </si>
  <si>
    <t>Week 3</t>
  </si>
  <si>
    <t>Week 4</t>
  </si>
  <si>
    <t>Week 5</t>
  </si>
  <si>
    <t>Progress</t>
  </si>
  <si>
    <t>Done</t>
  </si>
  <si>
    <t>Not Done</t>
  </si>
  <si>
    <t>November</t>
  </si>
  <si>
    <t>Analysis</t>
  </si>
  <si>
    <t>Goal</t>
  </si>
  <si>
    <t>Actual</t>
  </si>
  <si>
    <t>Categories</t>
  </si>
  <si>
    <t>Journal</t>
  </si>
  <si>
    <t>March</t>
  </si>
  <si>
    <t>April</t>
  </si>
  <si>
    <t>May</t>
  </si>
  <si>
    <t>June</t>
  </si>
  <si>
    <t>July</t>
  </si>
  <si>
    <t>August</t>
  </si>
  <si>
    <t>Yearly Statistics</t>
  </si>
  <si>
    <t>October</t>
  </si>
  <si>
    <t>Decemeber</t>
  </si>
  <si>
    <t>February</t>
  </si>
  <si>
    <t>January</t>
  </si>
  <si>
    <t>Number of habits</t>
  </si>
  <si>
    <t>Completed</t>
  </si>
  <si>
    <t>Completed habits</t>
  </si>
  <si>
    <t>September</t>
  </si>
  <si>
    <t>Meditate</t>
  </si>
  <si>
    <t>Practice gratitude</t>
  </si>
  <si>
    <t>Read a book</t>
  </si>
  <si>
    <t>Limit negative self-talk</t>
  </si>
  <si>
    <t>Practice deep breathing</t>
  </si>
  <si>
    <t>Reflect on the day</t>
  </si>
  <si>
    <t>Learn something new</t>
  </si>
  <si>
    <t>Visualization/goal review</t>
  </si>
  <si>
    <t>Digital detox time</t>
  </si>
  <si>
    <t>Exercise</t>
  </si>
  <si>
    <t>Stretch</t>
  </si>
  <si>
    <t>Walk 10,000 steps</t>
  </si>
  <si>
    <t>Drink enough water</t>
  </si>
  <si>
    <t>Take vitamins</t>
  </si>
  <si>
    <t>Eat vegetables</t>
  </si>
  <si>
    <t>Avoid sugary drinks</t>
  </si>
  <si>
    <t>Sleep 7–8 hours</t>
  </si>
  <si>
    <t>Posture check</t>
  </si>
  <si>
    <t>Go outside/get sunlight</t>
  </si>
  <si>
    <t>Nutrition</t>
  </si>
  <si>
    <t>Eat breakfast</t>
  </si>
  <si>
    <t>Cook a meal at home</t>
  </si>
  <si>
    <t>Track calories/macros</t>
  </si>
  <si>
    <t>Eat fruit</t>
  </si>
  <si>
    <t>Avoid late-night snacking</t>
  </si>
  <si>
    <t>Limit processed foods</t>
  </si>
  <si>
    <t>Work on a personal project</t>
  </si>
  <si>
    <t>Study or practice a skill</t>
  </si>
  <si>
    <t>Review goals</t>
  </si>
  <si>
    <t>Plan the day</t>
  </si>
  <si>
    <t>Prioritize top 3 tasks</t>
  </si>
  <si>
    <t>Inbox/email cleanup</t>
  </si>
  <si>
    <t>Declutter workspace</t>
  </si>
  <si>
    <t>Practice typing or writing</t>
  </si>
  <si>
    <t>Read industry news</t>
  </si>
  <si>
    <t>Limit social media</t>
  </si>
  <si>
    <t>No phone first 30 minutes of day</t>
  </si>
  <si>
    <t>No phone before bed</t>
  </si>
  <si>
    <t>Focus work session (Pomodoro)</t>
  </si>
  <si>
    <t>Clear desktop files</t>
  </si>
  <si>
    <t>Reach out to a friend</t>
  </si>
  <si>
    <t>Compliment someone</t>
  </si>
  <si>
    <t>Spend quality time with family</t>
  </si>
  <si>
    <t>Express appreciation</t>
  </si>
  <si>
    <t>Practice active listening</t>
  </si>
  <si>
    <t>Make the bed</t>
  </si>
  <si>
    <t>Clean for 10 minutes</t>
  </si>
  <si>
    <t>Track expenses</t>
  </si>
  <si>
    <t>Prepare for tomorrow</t>
  </si>
  <si>
    <t>Practice a hobby</t>
  </si>
  <si>
    <t>Habits by Category</t>
  </si>
  <si>
    <t>Habit</t>
  </si>
  <si>
    <t>Relationships</t>
  </si>
  <si>
    <t>Productivity</t>
  </si>
  <si>
    <t>Organization</t>
  </si>
  <si>
    <t>Mental</t>
  </si>
  <si>
    <t>Physical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</si>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</sst>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3" borderId="0" xfId="1" applyFont="1" applyFill="1"/>
    <xf numFmtId="0" fontId="0" fillId="3" borderId="0" xfId="0" applyFill="1"/>
    <xf numFmtId="9" fontId="0" fillId="2" borderId="0" xfId="1" applyFont="1" applyFill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left" indent="1"/>
    </xf>
    <xf numFmtId="0" fontId="4" fillId="0" borderId="1" xfId="0" applyFont="1" applyBorder="1"/>
    <xf numFmtId="0" fontId="0" fillId="0" borderId="1" xfId="0" applyBorder="1" applyAlignment="1">
      <alignment horizontal="left" indent="2"/>
    </xf>
    <xf numFmtId="0" fontId="6" fillId="0" borderId="1" xfId="0" applyFont="1" applyBorder="1"/>
    <xf numFmtId="0" fontId="4" fillId="4" borderId="1" xfId="0" applyFont="1" applyFill="1" applyBorder="1"/>
    <xf numFmtId="0" fontId="0" fillId="4" borderId="1" xfId="0" applyFill="1" applyBorder="1" applyAlignment="1">
      <alignment horizontal="left" indent="1"/>
    </xf>
    <xf numFmtId="0" fontId="7" fillId="2" borderId="0" xfId="0" applyFont="1" applyFill="1" applyAlignment="1">
      <alignment horizontal="center"/>
    </xf>
    <xf numFmtId="0" fontId="0" fillId="0" borderId="0" xfId="0" applyFont="1"/>
    <xf numFmtId="0" fontId="0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Yearly Statistics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Dashboard!$C$2:$S$2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2CE2-4BA5-B663-066D0A45D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814736"/>
        <c:axId val="2102812816"/>
      </c:areaChart>
      <c:catAx>
        <c:axId val="210281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12816"/>
        <c:crosses val="autoZero"/>
        <c:auto val="1"/>
        <c:lblAlgn val="ctr"/>
        <c:lblOffset val="100"/>
        <c:noMultiLvlLbl val="0"/>
      </c:catAx>
      <c:valAx>
        <c:axId val="21028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1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512359891560501E-2"/>
          <c:y val="5.5555555555555552E-2"/>
          <c:w val="0.94886292162282038"/>
          <c:h val="0.84204505686789155"/>
        </c:manualLayout>
      </c:layout>
      <c:areaChart>
        <c:grouping val="percentStacked"/>
        <c:varyColors val="0"/>
        <c:ser>
          <c:idx val="0"/>
          <c:order val="0"/>
          <c:tx>
            <c:v>%</c:v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Jan!$C$21:$AG$21</c:f>
              <c:numCache>
                <c:formatCode>0%</c:formatCode>
                <c:ptCount val="31"/>
                <c:pt idx="0">
                  <c:v>6.4516129032258063E-2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CD-47BC-B3E7-137279D63869}"/>
            </c:ext>
          </c:extLst>
        </c:ser>
        <c:ser>
          <c:idx val="1"/>
          <c:order val="1"/>
          <c:tx>
            <c:strRef>
              <c:f>Jan!$C$22:$AG$22</c:f>
              <c:strCache>
                <c:ptCount val="31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5-63CD-47BC-B3E7-137279D63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458528"/>
        <c:axId val="2130460928"/>
      </c:areaChart>
      <c:catAx>
        <c:axId val="21304585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60928"/>
        <c:crosses val="autoZero"/>
        <c:auto val="1"/>
        <c:lblAlgn val="ctr"/>
        <c:lblOffset val="100"/>
        <c:noMultiLvlLbl val="0"/>
      </c:catAx>
      <c:valAx>
        <c:axId val="21304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5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2</xdr:row>
      <xdr:rowOff>185737</xdr:rowOff>
    </xdr:from>
    <xdr:to>
      <xdr:col>17</xdr:col>
      <xdr:colOff>571499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BC49E4-F7BF-C88D-33A5-FF91450C7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23</xdr:row>
      <xdr:rowOff>128587</xdr:rowOff>
    </xdr:from>
    <xdr:to>
      <xdr:col>32</xdr:col>
      <xdr:colOff>371475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F39CB-B9B2-D314-749D-F4218B276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A027-6035-4352-AD95-745B666D22A1}">
  <dimension ref="B3:D13"/>
  <sheetViews>
    <sheetView workbookViewId="0">
      <selection activeCell="C4" sqref="C4"/>
    </sheetView>
  </sheetViews>
  <sheetFormatPr defaultRowHeight="15" x14ac:dyDescent="0.25"/>
  <cols>
    <col min="2" max="2" width="3" bestFit="1" customWidth="1"/>
    <col min="3" max="3" width="19.85546875" bestFit="1" customWidth="1"/>
    <col min="4" max="4" width="23" bestFit="1" customWidth="1"/>
  </cols>
  <sheetData>
    <row r="3" spans="2:4" ht="28.5" x14ac:dyDescent="0.45">
      <c r="B3" s="14"/>
      <c r="C3" s="20" t="s">
        <v>20</v>
      </c>
      <c r="D3" s="20" t="s">
        <v>88</v>
      </c>
    </row>
    <row r="4" spans="2:4" x14ac:dyDescent="0.25">
      <c r="B4" s="14">
        <v>1</v>
      </c>
      <c r="C4" s="17" t="s">
        <v>92</v>
      </c>
      <c r="D4" s="17" t="s">
        <v>38</v>
      </c>
    </row>
    <row r="5" spans="2:4" x14ac:dyDescent="0.25">
      <c r="B5" s="14">
        <v>2</v>
      </c>
      <c r="C5" s="17" t="s">
        <v>93</v>
      </c>
      <c r="D5" s="17" t="s">
        <v>46</v>
      </c>
    </row>
    <row r="6" spans="2:4" x14ac:dyDescent="0.25">
      <c r="B6" s="14">
        <v>3</v>
      </c>
      <c r="C6" s="17" t="s">
        <v>93</v>
      </c>
      <c r="D6" s="17" t="s">
        <v>55</v>
      </c>
    </row>
    <row r="7" spans="2:4" x14ac:dyDescent="0.25">
      <c r="B7" s="14">
        <v>4</v>
      </c>
      <c r="C7" s="17" t="s">
        <v>90</v>
      </c>
      <c r="D7" s="17" t="s">
        <v>67</v>
      </c>
    </row>
    <row r="8" spans="2:4" x14ac:dyDescent="0.25">
      <c r="B8" s="14">
        <v>5</v>
      </c>
      <c r="C8" s="17" t="s">
        <v>90</v>
      </c>
      <c r="D8" s="17" t="s">
        <v>68</v>
      </c>
    </row>
    <row r="9" spans="2:4" x14ac:dyDescent="0.25">
      <c r="B9" s="14">
        <v>6</v>
      </c>
      <c r="C9" s="17" t="s">
        <v>94</v>
      </c>
      <c r="D9" s="17" t="s">
        <v>72</v>
      </c>
    </row>
    <row r="10" spans="2:4" x14ac:dyDescent="0.25">
      <c r="B10" s="14">
        <v>7</v>
      </c>
      <c r="C10" s="17" t="s">
        <v>89</v>
      </c>
      <c r="D10" s="17" t="s">
        <v>80</v>
      </c>
    </row>
    <row r="11" spans="2:4" x14ac:dyDescent="0.25">
      <c r="B11" s="14">
        <v>8</v>
      </c>
      <c r="C11" s="17" t="s">
        <v>89</v>
      </c>
      <c r="D11" s="17" t="s">
        <v>77</v>
      </c>
    </row>
    <row r="12" spans="2:4" x14ac:dyDescent="0.25">
      <c r="B12" s="14">
        <v>9</v>
      </c>
      <c r="C12" s="17" t="s">
        <v>91</v>
      </c>
      <c r="D12" s="17" t="s">
        <v>82</v>
      </c>
    </row>
    <row r="13" spans="2:4" x14ac:dyDescent="0.25">
      <c r="B13" s="14">
        <v>10</v>
      </c>
      <c r="C13" s="17" t="s">
        <v>91</v>
      </c>
      <c r="D13" s="17" t="s">
        <v>83</v>
      </c>
    </row>
  </sheetData>
  <dataValidations count="2">
    <dataValidation type="list" allowBlank="1" showInputMessage="1" showErrorMessage="1" sqref="C4:C13" xr:uid="{E38B203C-155D-45D9-A4EA-1DBBD23B1143}">
      <formula1>Categories</formula1>
    </dataValidation>
    <dataValidation type="list" allowBlank="1" showInputMessage="1" showErrorMessage="1" sqref="D4:D13" xr:uid="{8D5D0838-5794-4744-9DDD-4A97F42F9C4A}">
      <formula1>INDIRECT(C4)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2C00-6D1A-4757-B249-5DA6AF40486C}">
  <dimension ref="B2:S32"/>
  <sheetViews>
    <sheetView workbookViewId="0">
      <selection activeCell="D26" sqref="D26"/>
    </sheetView>
  </sheetViews>
  <sheetFormatPr defaultRowHeight="15" x14ac:dyDescent="0.25"/>
  <cols>
    <col min="2" max="2" width="16.42578125" bestFit="1" customWidth="1"/>
    <col min="3" max="3" width="4.5703125" bestFit="1" customWidth="1"/>
    <col min="5" max="5" width="16.42578125" bestFit="1" customWidth="1"/>
    <col min="8" max="8" width="16.42578125" bestFit="1" customWidth="1"/>
    <col min="11" max="11" width="16.42578125" bestFit="1" customWidth="1"/>
    <col min="14" max="14" width="16.42578125" bestFit="1" customWidth="1"/>
    <col min="17" max="17" width="16.42578125" bestFit="1" customWidth="1"/>
  </cols>
  <sheetData>
    <row r="2" spans="2:19" ht="34.5" x14ac:dyDescent="0.55000000000000004">
      <c r="B2" s="23" t="s">
        <v>28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23" spans="2:18" ht="26.25" x14ac:dyDescent="0.4">
      <c r="B23" s="5" t="s">
        <v>32</v>
      </c>
      <c r="C23" s="5"/>
      <c r="E23" s="5" t="s">
        <v>31</v>
      </c>
      <c r="F23" s="5"/>
      <c r="H23" s="5" t="s">
        <v>22</v>
      </c>
      <c r="I23" s="5"/>
      <c r="K23" s="5" t="s">
        <v>23</v>
      </c>
      <c r="L23" s="5"/>
      <c r="N23" s="5" t="s">
        <v>24</v>
      </c>
      <c r="O23" s="5"/>
      <c r="Q23" s="5" t="s">
        <v>25</v>
      </c>
      <c r="R23" s="5"/>
    </row>
    <row r="24" spans="2:18" x14ac:dyDescent="0.25">
      <c r="B24" t="s">
        <v>33</v>
      </c>
      <c r="C24">
        <f>COUNTA(Jan!B10:B19)</f>
        <v>10</v>
      </c>
      <c r="E24" t="s">
        <v>33</v>
      </c>
      <c r="H24" t="s">
        <v>33</v>
      </c>
      <c r="K24" t="s">
        <v>33</v>
      </c>
      <c r="N24" t="s">
        <v>33</v>
      </c>
      <c r="Q24" t="s">
        <v>33</v>
      </c>
    </row>
    <row r="25" spans="2:18" x14ac:dyDescent="0.25">
      <c r="B25" t="s">
        <v>34</v>
      </c>
      <c r="C25">
        <f>SUM(Jan!C22:AG22)</f>
        <v>12</v>
      </c>
      <c r="E25" t="s">
        <v>34</v>
      </c>
      <c r="H25" t="s">
        <v>34</v>
      </c>
      <c r="K25" t="s">
        <v>34</v>
      </c>
      <c r="N25" t="s">
        <v>34</v>
      </c>
      <c r="Q25" t="s">
        <v>34</v>
      </c>
    </row>
    <row r="26" spans="2:18" x14ac:dyDescent="0.25">
      <c r="B26" t="s">
        <v>13</v>
      </c>
      <c r="C26" s="28">
        <f>SUM(Jan!$C$21:$AG$21)/Jan!$AG$9</f>
        <v>2.4661810613943808E-2</v>
      </c>
      <c r="E26" t="s">
        <v>13</v>
      </c>
      <c r="H26" t="s">
        <v>13</v>
      </c>
      <c r="K26" t="s">
        <v>13</v>
      </c>
      <c r="N26" t="s">
        <v>13</v>
      </c>
      <c r="Q26" t="s">
        <v>13</v>
      </c>
    </row>
    <row r="28" spans="2:18" ht="26.25" x14ac:dyDescent="0.4">
      <c r="B28" s="5" t="s">
        <v>26</v>
      </c>
      <c r="C28" s="5"/>
      <c r="E28" s="5" t="s">
        <v>27</v>
      </c>
      <c r="F28" s="5"/>
      <c r="G28" s="5"/>
      <c r="H28" s="5" t="s">
        <v>36</v>
      </c>
      <c r="I28" s="5"/>
      <c r="K28" s="5" t="s">
        <v>29</v>
      </c>
      <c r="L28" s="5"/>
      <c r="N28" s="5" t="s">
        <v>16</v>
      </c>
      <c r="O28" s="5"/>
      <c r="Q28" s="5" t="s">
        <v>30</v>
      </c>
      <c r="R28" s="5"/>
    </row>
    <row r="29" spans="2:18" x14ac:dyDescent="0.25">
      <c r="B29" t="s">
        <v>33</v>
      </c>
      <c r="H29" t="s">
        <v>33</v>
      </c>
      <c r="K29" t="s">
        <v>33</v>
      </c>
      <c r="N29" t="s">
        <v>33</v>
      </c>
      <c r="Q29" t="s">
        <v>33</v>
      </c>
    </row>
    <row r="30" spans="2:18" x14ac:dyDescent="0.25">
      <c r="B30" t="s">
        <v>34</v>
      </c>
      <c r="E30" t="s">
        <v>33</v>
      </c>
      <c r="H30" t="s">
        <v>34</v>
      </c>
      <c r="K30" t="s">
        <v>34</v>
      </c>
      <c r="N30" t="s">
        <v>34</v>
      </c>
      <c r="Q30" t="s">
        <v>34</v>
      </c>
    </row>
    <row r="31" spans="2:18" x14ac:dyDescent="0.25">
      <c r="B31" t="s">
        <v>13</v>
      </c>
      <c r="E31" t="s">
        <v>34</v>
      </c>
      <c r="H31" t="s">
        <v>13</v>
      </c>
      <c r="K31" t="s">
        <v>13</v>
      </c>
      <c r="N31" t="s">
        <v>13</v>
      </c>
      <c r="Q31" t="s">
        <v>13</v>
      </c>
    </row>
    <row r="32" spans="2:18" x14ac:dyDescent="0.25">
      <c r="E32" t="s">
        <v>13</v>
      </c>
    </row>
  </sheetData>
  <mergeCells count="13">
    <mergeCell ref="B2:S2"/>
    <mergeCell ref="Q28:R28"/>
    <mergeCell ref="N28:O28"/>
    <mergeCell ref="K28:L28"/>
    <mergeCell ref="H28:I28"/>
    <mergeCell ref="E28:G28"/>
    <mergeCell ref="B28:C28"/>
    <mergeCell ref="B23:C23"/>
    <mergeCell ref="E23:F23"/>
    <mergeCell ref="H23:I23"/>
    <mergeCell ref="K23:L23"/>
    <mergeCell ref="N23:O23"/>
    <mergeCell ref="Q23:R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794-379C-45F7-B016-F9C211585A70}">
  <dimension ref="B2:AK23"/>
  <sheetViews>
    <sheetView tabSelected="1" workbookViewId="0">
      <selection activeCell="H16" sqref="H16"/>
    </sheetView>
  </sheetViews>
  <sheetFormatPr defaultRowHeight="15" x14ac:dyDescent="0.25"/>
  <cols>
    <col min="1" max="1" width="3.5703125" customWidth="1"/>
    <col min="2" max="2" width="30.85546875" customWidth="1"/>
    <col min="3" max="33" width="6.140625" customWidth="1"/>
    <col min="35" max="35" width="5.140625" bestFit="1" customWidth="1"/>
    <col min="36" max="36" width="6.5703125" bestFit="1" customWidth="1"/>
    <col min="37" max="37" width="36.85546875" customWidth="1"/>
  </cols>
  <sheetData>
    <row r="2" spans="2:37" ht="15" customHeight="1" x14ac:dyDescent="0.25">
      <c r="B2" s="26" t="s">
        <v>32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6" t="s">
        <v>33</v>
      </c>
      <c r="O2" s="6"/>
      <c r="P2" s="6"/>
      <c r="Q2" s="6"/>
      <c r="R2" s="6"/>
      <c r="S2" s="6"/>
      <c r="T2" s="6"/>
      <c r="U2" s="6"/>
      <c r="V2" s="6" t="s">
        <v>35</v>
      </c>
      <c r="W2" s="6"/>
      <c r="X2" s="6"/>
      <c r="Y2" s="6"/>
      <c r="Z2" s="6"/>
      <c r="AA2" s="6"/>
      <c r="AB2" s="6" t="s">
        <v>13</v>
      </c>
      <c r="AC2" s="6"/>
      <c r="AD2" s="6"/>
      <c r="AE2" s="6"/>
      <c r="AF2" s="6"/>
      <c r="AG2" s="6"/>
    </row>
    <row r="3" spans="2:37" ht="15" customHeight="1" x14ac:dyDescent="0.2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2:37" ht="15" customHeight="1" x14ac:dyDescent="0.2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6">
        <f>COUNTA(B10:B19)</f>
        <v>10</v>
      </c>
      <c r="O4" s="6"/>
      <c r="P4" s="6"/>
      <c r="Q4" s="6"/>
      <c r="R4" s="6"/>
      <c r="S4" s="6"/>
      <c r="T4" s="6"/>
      <c r="U4" s="6"/>
      <c r="V4" s="6">
        <f>SUM(C22:AG22)</f>
        <v>12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2:37" s="24" customFormat="1" x14ac:dyDescent="0.2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7" spans="2:37" x14ac:dyDescent="0.25">
      <c r="B7" s="4" t="s">
        <v>0</v>
      </c>
      <c r="C7" s="8" t="s">
        <v>8</v>
      </c>
      <c r="D7" s="8"/>
      <c r="E7" s="8"/>
      <c r="F7" s="8"/>
      <c r="G7" s="8"/>
      <c r="H7" s="8"/>
      <c r="I7" s="8"/>
      <c r="J7" s="3" t="s">
        <v>9</v>
      </c>
      <c r="K7" s="3"/>
      <c r="L7" s="3"/>
      <c r="M7" s="3"/>
      <c r="N7" s="3"/>
      <c r="O7" s="3"/>
      <c r="P7" s="3"/>
      <c r="Q7" s="8" t="s">
        <v>10</v>
      </c>
      <c r="R7" s="8"/>
      <c r="S7" s="8"/>
      <c r="T7" s="8"/>
      <c r="U7" s="8"/>
      <c r="V7" s="8"/>
      <c r="W7" s="8"/>
      <c r="X7" s="3" t="s">
        <v>11</v>
      </c>
      <c r="Y7" s="3"/>
      <c r="Z7" s="3"/>
      <c r="AA7" s="3"/>
      <c r="AB7" s="3"/>
      <c r="AC7" s="3"/>
      <c r="AD7" s="3"/>
      <c r="AE7" s="8" t="s">
        <v>12</v>
      </c>
      <c r="AF7" s="8"/>
      <c r="AG7" s="8"/>
      <c r="AI7" s="27" t="s">
        <v>17</v>
      </c>
      <c r="AJ7" s="27"/>
      <c r="AK7" s="27"/>
    </row>
    <row r="8" spans="2:37" x14ac:dyDescent="0.25">
      <c r="B8" s="4"/>
      <c r="C8" s="9" t="s">
        <v>1</v>
      </c>
      <c r="D8" s="9" t="s">
        <v>2</v>
      </c>
      <c r="E8" s="9" t="s">
        <v>3</v>
      </c>
      <c r="F8" s="9" t="s">
        <v>4</v>
      </c>
      <c r="G8" s="9" t="s">
        <v>5</v>
      </c>
      <c r="H8" s="9" t="s">
        <v>6</v>
      </c>
      <c r="I8" s="9" t="s">
        <v>7</v>
      </c>
      <c r="J8" s="2" t="s">
        <v>1</v>
      </c>
      <c r="K8" s="2" t="s">
        <v>2</v>
      </c>
      <c r="L8" s="2" t="s">
        <v>3</v>
      </c>
      <c r="M8" s="2" t="s">
        <v>4</v>
      </c>
      <c r="N8" s="2" t="s">
        <v>5</v>
      </c>
      <c r="O8" s="2" t="s">
        <v>6</v>
      </c>
      <c r="P8" s="2" t="s">
        <v>7</v>
      </c>
      <c r="Q8" s="9" t="s">
        <v>1</v>
      </c>
      <c r="R8" s="9" t="s">
        <v>2</v>
      </c>
      <c r="S8" s="9" t="s">
        <v>3</v>
      </c>
      <c r="T8" s="9" t="s">
        <v>4</v>
      </c>
      <c r="U8" s="9" t="s">
        <v>5</v>
      </c>
      <c r="V8" s="9" t="s">
        <v>6</v>
      </c>
      <c r="W8" s="9" t="s">
        <v>7</v>
      </c>
      <c r="X8" s="2" t="s">
        <v>1</v>
      </c>
      <c r="Y8" s="2" t="s">
        <v>2</v>
      </c>
      <c r="Z8" s="2" t="s">
        <v>3</v>
      </c>
      <c r="AA8" s="2" t="s">
        <v>4</v>
      </c>
      <c r="AB8" s="2" t="s">
        <v>5</v>
      </c>
      <c r="AC8" s="2" t="s">
        <v>6</v>
      </c>
      <c r="AD8" s="2" t="s">
        <v>7</v>
      </c>
      <c r="AE8" s="9" t="s">
        <v>1</v>
      </c>
      <c r="AF8" s="9" t="s">
        <v>2</v>
      </c>
      <c r="AG8" s="9" t="s">
        <v>3</v>
      </c>
      <c r="AI8" s="27"/>
      <c r="AJ8" s="27"/>
      <c r="AK8" s="27"/>
    </row>
    <row r="9" spans="2:37" x14ac:dyDescent="0.25">
      <c r="B9" s="4"/>
      <c r="C9" s="9">
        <v>1</v>
      </c>
      <c r="D9" s="9">
        <v>2</v>
      </c>
      <c r="E9" s="9">
        <v>3</v>
      </c>
      <c r="F9" s="9">
        <v>4</v>
      </c>
      <c r="G9" s="9">
        <v>5</v>
      </c>
      <c r="H9" s="9">
        <v>6</v>
      </c>
      <c r="I9" s="9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9">
        <v>15</v>
      </c>
      <c r="R9" s="9">
        <v>16</v>
      </c>
      <c r="S9" s="9">
        <v>17</v>
      </c>
      <c r="T9" s="9">
        <v>18</v>
      </c>
      <c r="U9" s="9">
        <v>19</v>
      </c>
      <c r="V9" s="9">
        <v>20</v>
      </c>
      <c r="W9" s="9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>
        <v>27</v>
      </c>
      <c r="AD9" s="2">
        <v>28</v>
      </c>
      <c r="AE9" s="9">
        <v>29</v>
      </c>
      <c r="AF9" s="9">
        <v>30</v>
      </c>
      <c r="AG9" s="9">
        <v>31</v>
      </c>
      <c r="AI9" s="2" t="s">
        <v>18</v>
      </c>
      <c r="AJ9" s="2" t="s">
        <v>19</v>
      </c>
      <c r="AK9" s="2" t="s">
        <v>13</v>
      </c>
    </row>
    <row r="10" spans="2:37" x14ac:dyDescent="0.25">
      <c r="B10" s="2" t="str">
        <f>'Set Up'!D4</f>
        <v>Practice gratitude</v>
      </c>
      <c r="C10" s="10" t="b">
        <v>1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1</v>
      </c>
      <c r="I10" s="10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0" t="b">
        <v>0</v>
      </c>
      <c r="X10" s="7" t="b">
        <v>0</v>
      </c>
      <c r="Y10" s="7" t="b">
        <v>0</v>
      </c>
      <c r="Z10" s="7" t="b">
        <v>0</v>
      </c>
      <c r="AA10" s="7" t="b">
        <v>0</v>
      </c>
      <c r="AB10" s="7" t="b">
        <v>0</v>
      </c>
      <c r="AC10" s="7" t="b">
        <v>0</v>
      </c>
      <c r="AD10" s="7" t="b">
        <v>0</v>
      </c>
      <c r="AE10" s="10" t="b">
        <v>0</v>
      </c>
      <c r="AF10" s="10" t="b">
        <v>0</v>
      </c>
      <c r="AG10" s="10" t="b">
        <v>0</v>
      </c>
      <c r="AI10" s="12">
        <f>COUNTA(C10:AG10)</f>
        <v>31</v>
      </c>
      <c r="AJ10" s="12">
        <f>COUNTIF(C10:AG10, TRUE)</f>
        <v>2</v>
      </c>
      <c r="AK10" s="11">
        <f t="shared" ref="AK10:AK19" si="0">COUNTIF(C10:AG10, TRUE) / COUNTA(C10:AG10)</f>
        <v>6.4516129032258063E-2</v>
      </c>
    </row>
    <row r="11" spans="2:37" x14ac:dyDescent="0.25">
      <c r="B11" s="2" t="str">
        <f>'Set Up'!D5</f>
        <v>Exercise</v>
      </c>
      <c r="C11" s="10" t="b">
        <v>1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0" t="b">
        <v>0</v>
      </c>
      <c r="X11" s="7" t="b">
        <v>0</v>
      </c>
      <c r="Y11" s="7" t="b">
        <v>0</v>
      </c>
      <c r="Z11" s="7" t="b">
        <v>0</v>
      </c>
      <c r="AA11" s="7" t="b">
        <v>0</v>
      </c>
      <c r="AB11" s="7" t="b">
        <v>0</v>
      </c>
      <c r="AC11" s="7" t="b">
        <v>0</v>
      </c>
      <c r="AD11" s="7" t="b">
        <v>0</v>
      </c>
      <c r="AE11" s="10" t="b">
        <v>0</v>
      </c>
      <c r="AF11" s="10" t="b">
        <v>0</v>
      </c>
      <c r="AG11" s="10" t="b">
        <v>0</v>
      </c>
      <c r="AI11" s="12">
        <f t="shared" ref="AI11:AI19" si="1">COUNTA(C11:AG11)</f>
        <v>31</v>
      </c>
      <c r="AJ11" s="12">
        <f t="shared" ref="AJ11:AJ19" si="2">COUNTIF(C11:AG11, TRUE)</f>
        <v>1</v>
      </c>
      <c r="AK11" s="11">
        <f t="shared" si="0"/>
        <v>3.2258064516129031E-2</v>
      </c>
    </row>
    <row r="12" spans="2:37" x14ac:dyDescent="0.25">
      <c r="B12" s="2" t="str">
        <f>'Set Up'!D6</f>
        <v>Go outside/get sunlight</v>
      </c>
      <c r="C12" s="10" t="b">
        <v>1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0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0" t="b">
        <v>0</v>
      </c>
      <c r="X12" s="7" t="b">
        <v>0</v>
      </c>
      <c r="Y12" s="7" t="b">
        <v>0</v>
      </c>
      <c r="Z12" s="7" t="b">
        <v>0</v>
      </c>
      <c r="AA12" s="7" t="b">
        <v>0</v>
      </c>
      <c r="AB12" s="7" t="b">
        <v>0</v>
      </c>
      <c r="AC12" s="7" t="b">
        <v>0</v>
      </c>
      <c r="AD12" s="7" t="b">
        <v>0</v>
      </c>
      <c r="AE12" s="10" t="b">
        <v>0</v>
      </c>
      <c r="AF12" s="10" t="b">
        <v>0</v>
      </c>
      <c r="AG12" s="10" t="b">
        <v>0</v>
      </c>
      <c r="AI12" s="12">
        <f t="shared" si="1"/>
        <v>31</v>
      </c>
      <c r="AJ12" s="12">
        <f t="shared" si="2"/>
        <v>1</v>
      </c>
      <c r="AK12" s="11">
        <f t="shared" si="0"/>
        <v>3.2258064516129031E-2</v>
      </c>
    </row>
    <row r="13" spans="2:37" x14ac:dyDescent="0.25">
      <c r="B13" s="2" t="str">
        <f>'Set Up'!D7</f>
        <v>Prioritize top 3 tasks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1</v>
      </c>
      <c r="I13" s="10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0" t="b">
        <v>0</v>
      </c>
      <c r="X13" s="7" t="b">
        <v>0</v>
      </c>
      <c r="Y13" s="7" t="b">
        <v>0</v>
      </c>
      <c r="Z13" s="7" t="b">
        <v>0</v>
      </c>
      <c r="AA13" s="7" t="b">
        <v>0</v>
      </c>
      <c r="AB13" s="7" t="b">
        <v>0</v>
      </c>
      <c r="AC13" s="7" t="b">
        <v>0</v>
      </c>
      <c r="AD13" s="7" t="b">
        <v>0</v>
      </c>
      <c r="AE13" s="10" t="b">
        <v>0</v>
      </c>
      <c r="AF13" s="10" t="b">
        <v>0</v>
      </c>
      <c r="AG13" s="10" t="b">
        <v>0</v>
      </c>
      <c r="AI13" s="12">
        <f t="shared" si="1"/>
        <v>31</v>
      </c>
      <c r="AJ13" s="12">
        <f t="shared" si="2"/>
        <v>1</v>
      </c>
      <c r="AK13" s="11">
        <f t="shared" si="0"/>
        <v>3.2258064516129031E-2</v>
      </c>
    </row>
    <row r="14" spans="2:37" x14ac:dyDescent="0.25">
      <c r="B14" s="2" t="str">
        <f>'Set Up'!D8</f>
        <v>Inbox/email cleanup</v>
      </c>
      <c r="C14" s="10" t="b">
        <v>1</v>
      </c>
      <c r="D14" s="10" t="b">
        <v>0</v>
      </c>
      <c r="E14" s="10" t="b">
        <v>0</v>
      </c>
      <c r="F14" s="10" t="b">
        <v>1</v>
      </c>
      <c r="G14" s="10" t="b">
        <v>0</v>
      </c>
      <c r="H14" s="10" t="b">
        <v>0</v>
      </c>
      <c r="I14" s="10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0" t="b">
        <v>0</v>
      </c>
      <c r="X14" s="7" t="b">
        <v>0</v>
      </c>
      <c r="Y14" s="7" t="b">
        <v>0</v>
      </c>
      <c r="Z14" s="7" t="b">
        <v>0</v>
      </c>
      <c r="AA14" s="7" t="b">
        <v>0</v>
      </c>
      <c r="AB14" s="7" t="b">
        <v>0</v>
      </c>
      <c r="AC14" s="7" t="b">
        <v>0</v>
      </c>
      <c r="AD14" s="7" t="b">
        <v>0</v>
      </c>
      <c r="AE14" s="10" t="b">
        <v>0</v>
      </c>
      <c r="AF14" s="10" t="b">
        <v>0</v>
      </c>
      <c r="AG14" s="10" t="b">
        <v>0</v>
      </c>
      <c r="AI14" s="12">
        <f t="shared" si="1"/>
        <v>31</v>
      </c>
      <c r="AJ14" s="12">
        <f t="shared" si="2"/>
        <v>2</v>
      </c>
      <c r="AK14" s="11">
        <f t="shared" si="0"/>
        <v>6.4516129032258063E-2</v>
      </c>
    </row>
    <row r="15" spans="2:37" x14ac:dyDescent="0.25">
      <c r="B15" s="2" t="str">
        <f>'Set Up'!D9</f>
        <v>Limit social media</v>
      </c>
      <c r="C15" s="10" t="b">
        <v>0</v>
      </c>
      <c r="D15" s="10" t="b">
        <v>0</v>
      </c>
      <c r="E15" s="10" t="b">
        <v>1</v>
      </c>
      <c r="F15" s="10" t="b">
        <v>1</v>
      </c>
      <c r="G15" s="10" t="b">
        <v>0</v>
      </c>
      <c r="H15" s="10" t="b">
        <v>1</v>
      </c>
      <c r="I15" s="10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0" t="b">
        <v>0</v>
      </c>
      <c r="X15" s="7" t="b">
        <v>0</v>
      </c>
      <c r="Y15" s="7" t="b">
        <v>0</v>
      </c>
      <c r="Z15" s="7" t="b">
        <v>0</v>
      </c>
      <c r="AA15" s="7" t="b">
        <v>0</v>
      </c>
      <c r="AB15" s="7" t="b">
        <v>0</v>
      </c>
      <c r="AC15" s="7" t="b">
        <v>0</v>
      </c>
      <c r="AD15" s="7" t="b">
        <v>0</v>
      </c>
      <c r="AE15" s="10" t="b">
        <v>0</v>
      </c>
      <c r="AF15" s="10" t="b">
        <v>0</v>
      </c>
      <c r="AG15" s="10" t="b">
        <v>0</v>
      </c>
      <c r="AI15" s="12">
        <f t="shared" si="1"/>
        <v>31</v>
      </c>
      <c r="AJ15" s="12">
        <f t="shared" si="2"/>
        <v>3</v>
      </c>
      <c r="AK15" s="11">
        <f t="shared" si="0"/>
        <v>9.6774193548387094E-2</v>
      </c>
    </row>
    <row r="16" spans="2:37" x14ac:dyDescent="0.25">
      <c r="B16" s="2" t="str">
        <f>'Set Up'!D10</f>
        <v>Express appreciation</v>
      </c>
      <c r="C16" s="10" t="b">
        <v>1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1</v>
      </c>
      <c r="I16" s="10" t="b">
        <v>0</v>
      </c>
      <c r="J16" s="7" t="b">
        <v>0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0" t="b">
        <v>0</v>
      </c>
      <c r="X16" s="7" t="b">
        <v>0</v>
      </c>
      <c r="Y16" s="7" t="b">
        <v>0</v>
      </c>
      <c r="Z16" s="7" t="b">
        <v>0</v>
      </c>
      <c r="AA16" s="7" t="b">
        <v>0</v>
      </c>
      <c r="AB16" s="7" t="b">
        <v>0</v>
      </c>
      <c r="AC16" s="7" t="b">
        <v>0</v>
      </c>
      <c r="AD16" s="7" t="b">
        <v>0</v>
      </c>
      <c r="AE16" s="10" t="b">
        <v>0</v>
      </c>
      <c r="AF16" s="10" t="b">
        <v>0</v>
      </c>
      <c r="AG16" s="10" t="b">
        <v>0</v>
      </c>
      <c r="AI16" s="12">
        <f t="shared" si="1"/>
        <v>31</v>
      </c>
      <c r="AJ16" s="12">
        <f t="shared" si="2"/>
        <v>2</v>
      </c>
      <c r="AK16" s="11">
        <f t="shared" si="0"/>
        <v>6.4516129032258063E-2</v>
      </c>
    </row>
    <row r="17" spans="2:37" x14ac:dyDescent="0.25">
      <c r="B17" s="2" t="str">
        <f>'Set Up'!D11</f>
        <v>Reach out to a friend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0" t="b">
        <v>0</v>
      </c>
      <c r="W17" s="10" t="b">
        <v>0</v>
      </c>
      <c r="X17" s="7" t="b">
        <v>0</v>
      </c>
      <c r="Y17" s="7" t="b">
        <v>0</v>
      </c>
      <c r="Z17" s="7" t="b">
        <v>0</v>
      </c>
      <c r="AA17" s="7" t="b">
        <v>0</v>
      </c>
      <c r="AB17" s="7" t="b">
        <v>0</v>
      </c>
      <c r="AC17" s="7" t="b">
        <v>0</v>
      </c>
      <c r="AD17" s="7" t="b">
        <v>0</v>
      </c>
      <c r="AE17" s="10" t="b">
        <v>0</v>
      </c>
      <c r="AF17" s="10" t="b">
        <v>0</v>
      </c>
      <c r="AG17" s="10" t="b">
        <v>0</v>
      </c>
      <c r="AI17" s="12">
        <f t="shared" si="1"/>
        <v>31</v>
      </c>
      <c r="AJ17" s="12">
        <f t="shared" si="2"/>
        <v>0</v>
      </c>
      <c r="AK17" s="11">
        <f t="shared" si="0"/>
        <v>0</v>
      </c>
    </row>
    <row r="18" spans="2:37" x14ac:dyDescent="0.25">
      <c r="B18" s="2" t="str">
        <f>'Set Up'!D12</f>
        <v>Make the bed</v>
      </c>
      <c r="C18" s="10" t="b">
        <v>0</v>
      </c>
      <c r="D18" s="10" t="b">
        <v>0</v>
      </c>
      <c r="E18" s="10" t="b">
        <v>0</v>
      </c>
      <c r="F18" s="10" t="b">
        <v>0</v>
      </c>
      <c r="G18" s="10" t="b">
        <v>0</v>
      </c>
      <c r="H18" s="10" t="b">
        <v>0</v>
      </c>
      <c r="I18" s="10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0</v>
      </c>
      <c r="Q18" s="10" t="b">
        <v>0</v>
      </c>
      <c r="R18" s="10" t="b">
        <v>0</v>
      </c>
      <c r="S18" s="10" t="b">
        <v>0</v>
      </c>
      <c r="T18" s="10" t="b">
        <v>0</v>
      </c>
      <c r="U18" s="10" t="b">
        <v>0</v>
      </c>
      <c r="V18" s="10" t="b">
        <v>0</v>
      </c>
      <c r="W18" s="10" t="b">
        <v>0</v>
      </c>
      <c r="X18" s="7" t="b">
        <v>0</v>
      </c>
      <c r="Y18" s="7" t="b">
        <v>0</v>
      </c>
      <c r="Z18" s="7" t="b">
        <v>0</v>
      </c>
      <c r="AA18" s="7" t="b">
        <v>0</v>
      </c>
      <c r="AB18" s="7" t="b">
        <v>0</v>
      </c>
      <c r="AC18" s="7" t="b">
        <v>0</v>
      </c>
      <c r="AD18" s="7" t="b">
        <v>0</v>
      </c>
      <c r="AE18" s="10" t="b">
        <v>0</v>
      </c>
      <c r="AF18" s="10" t="b">
        <v>0</v>
      </c>
      <c r="AG18" s="10" t="b">
        <v>0</v>
      </c>
      <c r="AI18" s="12">
        <f t="shared" si="1"/>
        <v>31</v>
      </c>
      <c r="AJ18" s="12">
        <f t="shared" si="2"/>
        <v>0</v>
      </c>
      <c r="AK18" s="11">
        <f t="shared" si="0"/>
        <v>0</v>
      </c>
    </row>
    <row r="19" spans="2:37" x14ac:dyDescent="0.25">
      <c r="B19" s="2" t="str">
        <f>'Set Up'!D13</f>
        <v>Clean for 10 minutes</v>
      </c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0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0" t="b">
        <v>0</v>
      </c>
      <c r="W19" s="10" t="b">
        <v>0</v>
      </c>
      <c r="X19" s="7" t="b">
        <v>0</v>
      </c>
      <c r="Y19" s="7" t="b">
        <v>0</v>
      </c>
      <c r="Z19" s="7" t="b">
        <v>0</v>
      </c>
      <c r="AA19" s="7" t="b">
        <v>0</v>
      </c>
      <c r="AB19" s="7" t="b">
        <v>0</v>
      </c>
      <c r="AC19" s="7" t="b">
        <v>0</v>
      </c>
      <c r="AD19" s="7" t="b">
        <v>0</v>
      </c>
      <c r="AE19" s="10" t="b">
        <v>0</v>
      </c>
      <c r="AF19" s="10" t="b">
        <v>0</v>
      </c>
      <c r="AG19" s="10" t="b">
        <v>0</v>
      </c>
      <c r="AI19" s="12">
        <f t="shared" si="1"/>
        <v>31</v>
      </c>
      <c r="AJ19" s="12">
        <f t="shared" si="2"/>
        <v>0</v>
      </c>
      <c r="AK19" s="11">
        <f t="shared" si="0"/>
        <v>0</v>
      </c>
    </row>
    <row r="21" spans="2:37" x14ac:dyDescent="0.25">
      <c r="B21" s="1" t="s">
        <v>13</v>
      </c>
      <c r="C21" s="11">
        <f>COUNTIF(C10:AG10, TRUE) / COUNTA(C10:AG10)</f>
        <v>6.4516129032258063E-2</v>
      </c>
      <c r="D21" s="11">
        <f t="shared" ref="D21:AG21" si="3">COUNTIF(D10:D19, TRUE) / COUNTA(D10:D19)</f>
        <v>0</v>
      </c>
      <c r="E21" s="11">
        <f t="shared" si="3"/>
        <v>0.1</v>
      </c>
      <c r="F21" s="11">
        <f t="shared" si="3"/>
        <v>0.2</v>
      </c>
      <c r="G21" s="11">
        <f t="shared" si="3"/>
        <v>0</v>
      </c>
      <c r="H21" s="11">
        <f t="shared" si="3"/>
        <v>0.4</v>
      </c>
      <c r="I21" s="11">
        <f t="shared" si="3"/>
        <v>0</v>
      </c>
      <c r="J21" s="13">
        <f t="shared" si="3"/>
        <v>0</v>
      </c>
      <c r="K21" s="13">
        <f t="shared" si="3"/>
        <v>0</v>
      </c>
      <c r="L21" s="13">
        <f t="shared" si="3"/>
        <v>0</v>
      </c>
      <c r="M21" s="13">
        <f t="shared" si="3"/>
        <v>0</v>
      </c>
      <c r="N21" s="13">
        <f t="shared" si="3"/>
        <v>0</v>
      </c>
      <c r="O21" s="13">
        <f t="shared" si="3"/>
        <v>0</v>
      </c>
      <c r="P21" s="13">
        <f t="shared" si="3"/>
        <v>0</v>
      </c>
      <c r="Q21" s="11">
        <f t="shared" si="3"/>
        <v>0</v>
      </c>
      <c r="R21" s="11">
        <f t="shared" si="3"/>
        <v>0</v>
      </c>
      <c r="S21" s="11">
        <f t="shared" si="3"/>
        <v>0</v>
      </c>
      <c r="T21" s="11">
        <f t="shared" si="3"/>
        <v>0</v>
      </c>
      <c r="U21" s="11">
        <f t="shared" si="3"/>
        <v>0</v>
      </c>
      <c r="V21" s="11">
        <f t="shared" si="3"/>
        <v>0</v>
      </c>
      <c r="W21" s="11">
        <f t="shared" si="3"/>
        <v>0</v>
      </c>
      <c r="X21" s="13">
        <f t="shared" si="3"/>
        <v>0</v>
      </c>
      <c r="Y21" s="13">
        <f t="shared" si="3"/>
        <v>0</v>
      </c>
      <c r="Z21" s="13">
        <f t="shared" si="3"/>
        <v>0</v>
      </c>
      <c r="AA21" s="13">
        <f t="shared" si="3"/>
        <v>0</v>
      </c>
      <c r="AB21" s="13">
        <f t="shared" si="3"/>
        <v>0</v>
      </c>
      <c r="AC21" s="13">
        <f t="shared" si="3"/>
        <v>0</v>
      </c>
      <c r="AD21" s="13">
        <f t="shared" si="3"/>
        <v>0</v>
      </c>
      <c r="AE21" s="11">
        <f t="shared" si="3"/>
        <v>0</v>
      </c>
      <c r="AF21" s="11">
        <f t="shared" si="3"/>
        <v>0</v>
      </c>
      <c r="AG21" s="11">
        <f t="shared" si="3"/>
        <v>0</v>
      </c>
    </row>
    <row r="22" spans="2:37" x14ac:dyDescent="0.25">
      <c r="B22" s="1" t="s">
        <v>14</v>
      </c>
      <c r="C22" s="12">
        <f>COUNTIF(C10:C19, TRUE)</f>
        <v>5</v>
      </c>
      <c r="D22" s="12">
        <f t="shared" ref="D22:AG22" si="4">COUNTIF(D10:D19, TRUE)</f>
        <v>0</v>
      </c>
      <c r="E22" s="12">
        <f t="shared" si="4"/>
        <v>1</v>
      </c>
      <c r="F22" s="12">
        <f t="shared" si="4"/>
        <v>2</v>
      </c>
      <c r="G22" s="12">
        <f t="shared" si="4"/>
        <v>0</v>
      </c>
      <c r="H22" s="12">
        <f t="shared" si="4"/>
        <v>4</v>
      </c>
      <c r="I22" s="12">
        <f t="shared" si="4"/>
        <v>0</v>
      </c>
      <c r="J22" s="1">
        <f t="shared" si="4"/>
        <v>0</v>
      </c>
      <c r="K22" s="1">
        <f t="shared" si="4"/>
        <v>0</v>
      </c>
      <c r="L22" s="1">
        <f t="shared" si="4"/>
        <v>0</v>
      </c>
      <c r="M22" s="1">
        <f t="shared" si="4"/>
        <v>0</v>
      </c>
      <c r="N22" s="1">
        <f t="shared" si="4"/>
        <v>0</v>
      </c>
      <c r="O22" s="1">
        <f t="shared" si="4"/>
        <v>0</v>
      </c>
      <c r="P22" s="1">
        <f t="shared" si="4"/>
        <v>0</v>
      </c>
      <c r="Q22" s="12">
        <f t="shared" si="4"/>
        <v>0</v>
      </c>
      <c r="R22" s="12">
        <f t="shared" si="4"/>
        <v>0</v>
      </c>
      <c r="S22" s="12">
        <f t="shared" si="4"/>
        <v>0</v>
      </c>
      <c r="T22" s="12">
        <f t="shared" si="4"/>
        <v>0</v>
      </c>
      <c r="U22" s="12">
        <f t="shared" si="4"/>
        <v>0</v>
      </c>
      <c r="V22" s="12">
        <f t="shared" si="4"/>
        <v>0</v>
      </c>
      <c r="W22" s="12">
        <f t="shared" si="4"/>
        <v>0</v>
      </c>
      <c r="X22" s="1">
        <f t="shared" si="4"/>
        <v>0</v>
      </c>
      <c r="Y22" s="1">
        <f t="shared" si="4"/>
        <v>0</v>
      </c>
      <c r="Z22" s="1">
        <f t="shared" si="4"/>
        <v>0</v>
      </c>
      <c r="AA22" s="1">
        <f t="shared" si="4"/>
        <v>0</v>
      </c>
      <c r="AB22" s="1">
        <f t="shared" si="4"/>
        <v>0</v>
      </c>
      <c r="AC22" s="1">
        <f t="shared" si="4"/>
        <v>0</v>
      </c>
      <c r="AD22" s="1">
        <f t="shared" si="4"/>
        <v>0</v>
      </c>
      <c r="AE22" s="12">
        <f t="shared" si="4"/>
        <v>0</v>
      </c>
      <c r="AF22" s="12">
        <f t="shared" si="4"/>
        <v>0</v>
      </c>
      <c r="AG22" s="12">
        <f t="shared" si="4"/>
        <v>0</v>
      </c>
    </row>
    <row r="23" spans="2:37" x14ac:dyDescent="0.25">
      <c r="B23" s="1" t="s">
        <v>15</v>
      </c>
      <c r="C23" s="12">
        <f>COUNTIF(C10:C19, FALSE)</f>
        <v>5</v>
      </c>
      <c r="D23" s="12">
        <f t="shared" ref="D23:AG23" si="5">COUNTIF(D10:D19, FALSE)</f>
        <v>10</v>
      </c>
      <c r="E23" s="12">
        <f t="shared" si="5"/>
        <v>9</v>
      </c>
      <c r="F23" s="12">
        <f t="shared" si="5"/>
        <v>8</v>
      </c>
      <c r="G23" s="12">
        <f t="shared" si="5"/>
        <v>10</v>
      </c>
      <c r="H23" s="12">
        <f t="shared" si="5"/>
        <v>6</v>
      </c>
      <c r="I23" s="12">
        <f t="shared" si="5"/>
        <v>10</v>
      </c>
      <c r="J23" s="1">
        <f t="shared" si="5"/>
        <v>10</v>
      </c>
      <c r="K23" s="1">
        <f t="shared" si="5"/>
        <v>10</v>
      </c>
      <c r="L23" s="1">
        <f t="shared" si="5"/>
        <v>10</v>
      </c>
      <c r="M23" s="1">
        <f t="shared" si="5"/>
        <v>10</v>
      </c>
      <c r="N23" s="1">
        <f t="shared" si="5"/>
        <v>10</v>
      </c>
      <c r="O23" s="1">
        <f t="shared" si="5"/>
        <v>10</v>
      </c>
      <c r="P23" s="1">
        <f t="shared" si="5"/>
        <v>10</v>
      </c>
      <c r="Q23" s="12">
        <f t="shared" si="5"/>
        <v>10</v>
      </c>
      <c r="R23" s="12">
        <f t="shared" si="5"/>
        <v>10</v>
      </c>
      <c r="S23" s="12">
        <f t="shared" si="5"/>
        <v>10</v>
      </c>
      <c r="T23" s="12">
        <f t="shared" si="5"/>
        <v>10</v>
      </c>
      <c r="U23" s="12">
        <f t="shared" si="5"/>
        <v>10</v>
      </c>
      <c r="V23" s="12">
        <f t="shared" si="5"/>
        <v>10</v>
      </c>
      <c r="W23" s="12">
        <f t="shared" si="5"/>
        <v>10</v>
      </c>
      <c r="X23" s="1">
        <f t="shared" si="5"/>
        <v>10</v>
      </c>
      <c r="Y23" s="1">
        <f t="shared" si="5"/>
        <v>10</v>
      </c>
      <c r="Z23" s="1">
        <f t="shared" si="5"/>
        <v>10</v>
      </c>
      <c r="AA23" s="1">
        <f t="shared" si="5"/>
        <v>10</v>
      </c>
      <c r="AB23" s="1">
        <f t="shared" si="5"/>
        <v>10</v>
      </c>
      <c r="AC23" s="1">
        <f t="shared" si="5"/>
        <v>10</v>
      </c>
      <c r="AD23" s="1">
        <f t="shared" si="5"/>
        <v>10</v>
      </c>
      <c r="AE23" s="12">
        <f t="shared" si="5"/>
        <v>10</v>
      </c>
      <c r="AF23" s="12">
        <f t="shared" si="5"/>
        <v>10</v>
      </c>
      <c r="AG23" s="12">
        <f t="shared" si="5"/>
        <v>10</v>
      </c>
    </row>
  </sheetData>
  <mergeCells count="14">
    <mergeCell ref="AI7:AK8"/>
    <mergeCell ref="N2:U3"/>
    <mergeCell ref="N4:U4"/>
    <mergeCell ref="V2:AA3"/>
    <mergeCell ref="V4:AA4"/>
    <mergeCell ref="AB2:AG3"/>
    <mergeCell ref="AB4:AG4"/>
    <mergeCell ref="B2:M5"/>
    <mergeCell ref="B7:B9"/>
    <mergeCell ref="C7:I7"/>
    <mergeCell ref="J7:P7"/>
    <mergeCell ref="Q7:W7"/>
    <mergeCell ref="X7:AD7"/>
    <mergeCell ref="AE7:AG7"/>
  </mergeCells>
  <conditionalFormatting sqref="AK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{682D6546-F5A3-4280-9F26-338C3F3D1829}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2D6546-F5A3-4280-9F26-338C3F3D182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AK10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5974-A13A-4938-AB0D-DB9CC6C63245}">
  <dimension ref="B2:I13"/>
  <sheetViews>
    <sheetView workbookViewId="0">
      <selection activeCell="C22" sqref="C22"/>
    </sheetView>
  </sheetViews>
  <sheetFormatPr defaultRowHeight="15" x14ac:dyDescent="0.25"/>
  <cols>
    <col min="1" max="1" width="3.7109375" customWidth="1"/>
    <col min="2" max="3" width="29.140625" bestFit="1" customWidth="1"/>
    <col min="4" max="4" width="23" bestFit="1" customWidth="1"/>
    <col min="5" max="5" width="24.85546875" bestFit="1" customWidth="1"/>
    <col min="6" max="6" width="27.42578125" bestFit="1" customWidth="1"/>
    <col min="7" max="7" width="31.42578125" bestFit="1" customWidth="1"/>
    <col min="8" max="8" width="29" bestFit="1" customWidth="1"/>
    <col min="9" max="9" width="28.42578125" bestFit="1" customWidth="1"/>
  </cols>
  <sheetData>
    <row r="2" spans="2:9" ht="26.25" x14ac:dyDescent="0.4">
      <c r="B2" s="14"/>
      <c r="C2" s="15" t="s">
        <v>87</v>
      </c>
      <c r="D2" s="15"/>
      <c r="E2" s="15"/>
      <c r="F2" s="15"/>
      <c r="G2" s="15"/>
      <c r="H2" s="15"/>
      <c r="I2" s="15"/>
    </row>
    <row r="3" spans="2:9" ht="18.75" x14ac:dyDescent="0.3">
      <c r="B3" s="16" t="s">
        <v>20</v>
      </c>
      <c r="C3" s="21" t="s">
        <v>92</v>
      </c>
      <c r="D3" s="18" t="s">
        <v>93</v>
      </c>
      <c r="E3" s="18" t="s">
        <v>56</v>
      </c>
      <c r="F3" s="18" t="s">
        <v>90</v>
      </c>
      <c r="G3" s="18" t="s">
        <v>94</v>
      </c>
      <c r="H3" s="18" t="s">
        <v>89</v>
      </c>
      <c r="I3" s="18" t="s">
        <v>91</v>
      </c>
    </row>
    <row r="4" spans="2:9" x14ac:dyDescent="0.25">
      <c r="B4" s="22" t="s">
        <v>92</v>
      </c>
      <c r="C4" s="17" t="s">
        <v>37</v>
      </c>
      <c r="D4" s="17" t="s">
        <v>46</v>
      </c>
      <c r="E4" s="17" t="s">
        <v>57</v>
      </c>
      <c r="F4" s="17" t="s">
        <v>63</v>
      </c>
      <c r="G4" s="17" t="s">
        <v>72</v>
      </c>
      <c r="H4" s="17" t="s">
        <v>77</v>
      </c>
      <c r="I4" s="17" t="s">
        <v>82</v>
      </c>
    </row>
    <row r="5" spans="2:9" x14ac:dyDescent="0.25">
      <c r="B5" s="17" t="s">
        <v>93</v>
      </c>
      <c r="C5" s="17" t="s">
        <v>21</v>
      </c>
      <c r="D5" s="17" t="s">
        <v>47</v>
      </c>
      <c r="E5" s="17" t="s">
        <v>58</v>
      </c>
      <c r="F5" s="17" t="s">
        <v>64</v>
      </c>
      <c r="G5" s="17" t="s">
        <v>73</v>
      </c>
      <c r="H5" s="17" t="s">
        <v>78</v>
      </c>
      <c r="I5" s="17" t="s">
        <v>83</v>
      </c>
    </row>
    <row r="6" spans="2:9" x14ac:dyDescent="0.25">
      <c r="B6" s="17" t="s">
        <v>56</v>
      </c>
      <c r="C6" s="17" t="s">
        <v>38</v>
      </c>
      <c r="D6" s="17" t="s">
        <v>48</v>
      </c>
      <c r="E6" s="17" t="s">
        <v>59</v>
      </c>
      <c r="F6" s="17" t="s">
        <v>65</v>
      </c>
      <c r="G6" s="17" t="s">
        <v>74</v>
      </c>
      <c r="H6" s="17" t="s">
        <v>79</v>
      </c>
      <c r="I6" s="17" t="s">
        <v>84</v>
      </c>
    </row>
    <row r="7" spans="2:9" x14ac:dyDescent="0.25">
      <c r="B7" s="17" t="s">
        <v>90</v>
      </c>
      <c r="C7" s="17" t="s">
        <v>39</v>
      </c>
      <c r="D7" s="17" t="s">
        <v>49</v>
      </c>
      <c r="E7" s="17" t="s">
        <v>60</v>
      </c>
      <c r="F7" s="17" t="s">
        <v>66</v>
      </c>
      <c r="G7" s="17" t="s">
        <v>75</v>
      </c>
      <c r="H7" s="17" t="s">
        <v>80</v>
      </c>
      <c r="I7" s="17" t="s">
        <v>85</v>
      </c>
    </row>
    <row r="8" spans="2:9" x14ac:dyDescent="0.25">
      <c r="B8" s="17" t="s">
        <v>94</v>
      </c>
      <c r="C8" s="17" t="s">
        <v>40</v>
      </c>
      <c r="D8" s="17" t="s">
        <v>50</v>
      </c>
      <c r="E8" s="17" t="s">
        <v>61</v>
      </c>
      <c r="F8" s="17" t="s">
        <v>67</v>
      </c>
      <c r="G8" s="17" t="s">
        <v>76</v>
      </c>
      <c r="H8" s="17" t="s">
        <v>81</v>
      </c>
      <c r="I8" s="17" t="s">
        <v>86</v>
      </c>
    </row>
    <row r="9" spans="2:9" x14ac:dyDescent="0.25">
      <c r="B9" s="17" t="s">
        <v>89</v>
      </c>
      <c r="C9" s="17" t="s">
        <v>41</v>
      </c>
      <c r="D9" s="17" t="s">
        <v>51</v>
      </c>
      <c r="E9" s="17" t="s">
        <v>62</v>
      </c>
      <c r="F9" s="17" t="s">
        <v>68</v>
      </c>
      <c r="G9" s="17"/>
      <c r="H9" s="17"/>
      <c r="I9" s="17"/>
    </row>
    <row r="10" spans="2:9" x14ac:dyDescent="0.25">
      <c r="B10" s="17" t="s">
        <v>91</v>
      </c>
      <c r="C10" s="17" t="s">
        <v>42</v>
      </c>
      <c r="D10" s="17" t="s">
        <v>52</v>
      </c>
      <c r="E10" s="17"/>
      <c r="F10" s="17" t="s">
        <v>69</v>
      </c>
      <c r="G10" s="17"/>
      <c r="H10" s="17"/>
      <c r="I10" s="17"/>
    </row>
    <row r="11" spans="2:9" x14ac:dyDescent="0.25">
      <c r="B11" s="19"/>
      <c r="C11" s="17" t="s">
        <v>43</v>
      </c>
      <c r="D11" s="17" t="s">
        <v>53</v>
      </c>
      <c r="E11" s="17"/>
      <c r="F11" s="17" t="s">
        <v>70</v>
      </c>
      <c r="G11" s="17"/>
      <c r="H11" s="17"/>
      <c r="I11" s="17"/>
    </row>
    <row r="12" spans="2:9" x14ac:dyDescent="0.25">
      <c r="B12" s="19"/>
      <c r="C12" s="17" t="s">
        <v>44</v>
      </c>
      <c r="D12" s="17" t="s">
        <v>54</v>
      </c>
      <c r="E12" s="17"/>
      <c r="F12" s="17" t="s">
        <v>71</v>
      </c>
      <c r="G12" s="17"/>
      <c r="H12" s="17"/>
      <c r="I12" s="17"/>
    </row>
    <row r="13" spans="2:9" x14ac:dyDescent="0.25">
      <c r="B13" s="19"/>
      <c r="C13" s="17" t="s">
        <v>45</v>
      </c>
      <c r="D13" s="17" t="s">
        <v>55</v>
      </c>
      <c r="E13" s="17"/>
      <c r="F13" s="17"/>
      <c r="G13" s="17"/>
      <c r="H13" s="17"/>
      <c r="I13" s="17"/>
    </row>
  </sheetData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Set Up</vt:lpstr>
      <vt:lpstr>Dashboard</vt:lpstr>
      <vt:lpstr>Jan</vt:lpstr>
      <vt:lpstr>Lists</vt:lpstr>
      <vt:lpstr>Categories</vt:lpstr>
      <vt:lpstr>Focus</vt:lpstr>
      <vt:lpstr>Mental</vt:lpstr>
      <vt:lpstr>Nutrition</vt:lpstr>
      <vt:lpstr>Organization</vt:lpstr>
      <vt:lpstr>Physical</vt:lpstr>
      <vt:lpstr>Productivity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Packard</dc:creator>
  <cp:lastModifiedBy>Jordan Packard</cp:lastModifiedBy>
  <dcterms:created xsi:type="dcterms:W3CDTF">2026-03-09T18:39:41Z</dcterms:created>
  <dcterms:modified xsi:type="dcterms:W3CDTF">2026-03-09T20:41:09Z</dcterms:modified>
</cp:coreProperties>
</file>